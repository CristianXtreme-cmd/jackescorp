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sheetId="1" r:id="rId4"/>
    <sheet state="hidden" name="Especificaciones" sheetId="2" r:id="rId5"/>
  </sheets>
  <definedNames/>
  <calcPr/>
  <extLst>
    <ext uri="GoogleSheetsCustomDataVersion2">
      <go:sheetsCustomData xmlns:go="http://customooxmlschemas.google.com/" r:id="rId6" roundtripDataChecksum="3ySqdBLgPiG0Pkg4AanMjgYGjLs3GoWQmAQvz06lJIw="/>
    </ext>
  </extLst>
</workbook>
</file>

<file path=xl/sharedStrings.xml><?xml version="1.0" encoding="utf-8"?>
<sst xmlns="http://schemas.openxmlformats.org/spreadsheetml/2006/main" count="100" uniqueCount="82">
  <si>
    <t>Registro del formato de ficha técnica</t>
  </si>
  <si>
    <t>Responsable (Cristian Bayona)</t>
  </si>
  <si>
    <t>CARACTERÍSTICAS DEL PRODUCTO</t>
  </si>
  <si>
    <t>Nombre del producto: </t>
  </si>
  <si>
    <t>Sistema Integrado de Gestión Jackes Corp (SIG-JC)</t>
  </si>
  <si>
    <t>Línea de producción: </t>
  </si>
  <si>
    <t>Comercial</t>
  </si>
  <si>
    <t>Versiones anteriores: </t>
  </si>
  <si>
    <t>V-0</t>
  </si>
  <si>
    <t>Versión actual: </t>
  </si>
  <si>
    <t>VERSIÓN-01</t>
  </si>
  <si>
    <t>Módulo: </t>
  </si>
  <si>
    <t>Inventario y Ventas</t>
  </si>
  <si>
    <t>DESCRIPCIÓN DEL PRODUCTO</t>
  </si>
  <si>
    <t>Descripción general del producto: </t>
  </si>
  <si>
    <t xml:space="preserve">	Sistema web integral para la gestión automatizada de inventario y ventas de Jackes Corp, diseñado para optimizar el control de stock, procesar transacciones y generar reportes en tiempo real.</t>
  </si>
  <si>
    <t>Objetivo:</t>
  </si>
  <si>
    <t>Centralizar y automatizar los procesos operativos de la empresa, eliminar errores manuales, garantizar la trazabilidad de los productos y proporcionar insights basados en datos para la toma de decisiones.</t>
  </si>
  <si>
    <t>ARQUITECTURA</t>
  </si>
  <si>
    <t>Descripción:</t>
  </si>
  <si>
    <t>Software web con arquitectura cliente-servidor.</t>
  </si>
  <si>
    <t>REQUERIMIENTOS DEL PRODUCTO</t>
  </si>
  <si>
    <t>Requisitos del sistema (servidor)</t>
  </si>
  <si>
    <t>Hardware: </t>
  </si>
  <si>
    <t>2 vCPUs, 8 GB RAM, 50 GB SSD</t>
  </si>
  <si>
    <t>Software:</t>
  </si>
  <si>
    <t>Sistema Operativo Linux (Ubuntu 20.04 LTS), Node.js 18+ / Python 3.10+, MySQL 8.0+</t>
  </si>
  <si>
    <t>Infraestructura</t>
  </si>
  <si>
    <t>Servicio en la nube (AWS EC2, Google Compute Engine o Azure Virtual Machine)</t>
  </si>
  <si>
    <t>Otros: </t>
  </si>
  <si>
    <t>Dominio propio</t>
  </si>
  <si>
    <t>Requisitos del sistema (Empresa)</t>
  </si>
  <si>
    <t>Costo</t>
  </si>
  <si>
    <t>Computador con procesador Intel Core i5 / Ryzen 5, RAM 8GB, Disco SSD 256GB</t>
  </si>
  <si>
    <t>Software: </t>
  </si>
  <si>
    <t>Navegador web actualizado (Chrome, Edge, Firefox)</t>
  </si>
  <si>
    <t>Plan de internet estable</t>
  </si>
  <si>
    <t>Computador de escritorio con procesador Intel Core i3-12100 (4 núcleos, 8 hilos) o AMD Ryzen 5 5600G, RAM 16GB DDR4, Disco SSD NVMe 512GB, Monitor 21.5" HD.</t>
  </si>
  <si>
    <t>Windows 11 Pro (o Linux Ubuntu para ahorrar licencia) + Navegador web actualizado (Chrome, Edge, Firefox).</t>
  </si>
  <si>
    <t>Plan de internet fibra óptica 200 Mbps simétricos mínimo (Ej: Claro, Movistar, ETB).</t>
  </si>
  <si>
    <t>Computador de escritorio con procesador Intel Core i5-13400 o AMD Ryzen 7 5700X, RAM 32GB DDR4, Disco SSD NVMe 1TB, Monitor 24" Full HD.</t>
  </si>
  <si>
    <t>Windows 11 Pro + Suite de oficina (Opcional) + Navegador web actualizado.</t>
  </si>
  <si>
    <t>Plan de internet fibra óptica 500 Mbps simétricos mínimo.</t>
  </si>
  <si>
    <t>FIRMAS</t>
  </si>
  <si>
    <t>Elaboró</t>
  </si>
  <si>
    <t>Aprobó</t>
  </si>
  <si>
    <t>Cristian Bayona Alzate</t>
  </si>
  <si>
    <t>Firma: Cristian Bayona Alzate</t>
  </si>
  <si>
    <t xml:space="preserve">Producto </t>
  </si>
  <si>
    <t>Precio</t>
  </si>
  <si>
    <t>Link de compra</t>
  </si>
  <si>
    <t>Por que</t>
  </si>
  <si>
    <t>Computador Portátil ACER ASPIRE 14" Pulgadas 353Y Intel Core i3 - RAM 8GB - Disco SSD 512GB - Plateado</t>
  </si>
  <si>
    <t>https://www.alkosto.com/computador-portatil-acer-aspire-14-pulgadas-353y-intel-core-i3-ram-8gb-disco-ssd-512gb-plateado/p/4711121676444</t>
  </si>
  <si>
    <t>El Acer Aspire 14" Pulgadas 353Y con Intel Core i3 , 8GB de RAM y 512GB SSD es una excelente opción para gestionar un software de gestión de almacenes debido a su potente combinación de características. El procesador Intel Core i3 permite un rendimiento fluido y eficiente para manejar múltiples tareas y operaciones administrativas sin dificultad, lo cual es ideal para gestionar inventarios y realizar análisis de datos. Los 8GB de RAM garantizan una experiencia multitarea sin retrasos, facilitando el uso de múltiples aplicaciones al mismo. El SSD de 512 GB proporciona un arranque rápido y un acceso ágil a los archivos y bases de datos, lo que mejora la productividad al reducir los tiempos de espera. Además, su pantalla de 14 pulgadas es perfecta para quienes necesitan una buena visualización. datos sin comprometer la portabilidad, y su diseño elegante y ligero lo hace fácil de transportar y adecuado para ambientes de trabajo dinámicos.</t>
  </si>
  <si>
    <t>Computador Portátil HP 14" Pulgadas Dq0532la Intel Celeron - RAM 4GB - Disco SSD 128 GB- Plata</t>
  </si>
  <si>
    <t>https://www.alkosto.com/computador-portatil-hp-14-pulgadas-dq0532la-intel-celeron-ram-4gb-disco-ssd-128-gb-plata/p/198122844265</t>
  </si>
  <si>
    <t>El HP 14" Pulgadas Dq0532la con Intel Celeron , 4GB de RAM y 128GB SSD es una opción positiva para un software de gestión de almacenes que no requiere grandes recursos. El procesador Intel Celeron es ideal para tareas administrativas ligeras, como gestionar inventarios y pedidos, y tiene un bajo consumo energético Los 4GB de RAM son suficientes para ejecutar aplicaciones simples y realizar tareas básicas de gestión de datos sin dificultades. El SSD de 128GB mejora notablemente la velocidad de arranque y la carga. de aplicaciones, lo que optimiza la eficiencia del sistema en comparación con discos duros tradicionales. Además, su pantalla de 14 pulgadas y diseño compacto lo hacen fácil de transportar y adecuado para ambientes de trabajo pequeños o empresas que necesitan movilidad sin comprometer el rendimiento básico.</t>
  </si>
  <si>
    <t>Aramdo PC Torre GHOST PRO AMD RYZEN 5 4600G + A520M +16Gb+ Ssd 500 Gb @Pd</t>
  </si>
  <si>
    <t>https://powerdeal.com.co/collections/pc-gamer-ensamblados/products/torre-gamer-rgb-athlon-3000g-a320m-8gb-ssd-240gb</t>
  </si>
  <si>
    <t>El procesador Ryzen 5 ofrece un rendimiento potente para manejar tareas complejas, como la ejecución de bases de datos y la lógica empresarial de un sistema de gestión de almacenes. Los 16 GB de RAM permiten ejecutar múltiples procesos simultáneamente sin disminuir el rendimiento, ideal para mantener el sistema ágil y rápido incluso con grandes cantidades de datos. Además, el SSD de 500 GB mejora significativamente los tiempos de acceso a los datos, haciendo que el software funcione de manera eficiente al almacenar y recuperar información rápidamente. Este equipo también es fácilmente actualizable, lo que proporciona flexibilidad para futuras ampliaciones.</t>
  </si>
  <si>
    <t>Computador Portátil LENOVO IdeaPad Slim 3 15.6" Pulgadas 15IAN8 - Intel Core i3 - RAM 8GB - Disco SSD 512GB - Gris</t>
  </si>
  <si>
    <t>https://www.alkosto.com/computador-portatil-lenovo-ideapad-slim-3-156-pulgadas-15ian8-intel-core-i3-ram-8gb-disco-ssd-512gb-gris/p/197532261303?algEvent=eyJvYmplY3RJZCI6IjE5NzUzMjI2MTMwMyIsImluZGV4IjoiYWxrb3N0b0luZGV4QWxnb2xpYVBSRCIsImFjdGlvbiI6InZpZXciLCJxdWVyeUlEIjoiMWY3MDQyYjZhM2RmNGE2YmVlYTk4MzlmODhlNWQ5MmMifQ==</t>
  </si>
  <si>
    <t>El procesador Intel Core i3 proporciona un buen equilibrio entre rendimiento y eficiencia, permitiendo ejecutar tareas de gestión y procesamiento de datos sin problemas Con 8GB de RAM , el equipo es capaz de realizar múltiples tareas simultáneamente, lo cual es esencial cuando se gestionan inventarios, órdenes y registros de manera eficiente. 512GB mejora la velocidad del sistema y la carga del software, asegurando tiempos de respuesta rápidos y un acceso eficiente a grandes bases de datos. Además, su pantalla de 15.6 pulgadas proporciona un espacio cómodo para trabajar y visualizar los datos del sistema.</t>
  </si>
  <si>
    <t>Tigo</t>
  </si>
  <si>
    <t>https://www.tigo.com.co/internet/planes?twclid=11428551481905516549</t>
  </si>
  <si>
    <t>Al utilizar Google Cloud , el uso constante de la red para la carga y descarga de datos es fundamental, y una velocidad de 200 Mbps garantiza un flujo eficiente de información entre el sistema local y la nube. Esto es especialmente útil si el software de gestión de almacenes maneja grandes volúmenes de datos o si varios usuarios acceden simultáneamente al sistema. Además, una buena conexión permitirá la integración rápida de nuevas herramientas o funcionalidades en la nube, mejorando la experiencia general y la productividad de la empresa.</t>
  </si>
  <si>
    <t>Etb</t>
  </si>
  <si>
    <t>https://etb.com/hogares/Bogota.aspx?plan=duo</t>
  </si>
  <si>
    <t>Con este plan de internet, que generalmente ofrece una velocidad de fibra óptica de alrededor de 100 Mbps, se garantiza una conexión estable y rápida, lo cual es fundamental cuando se trabaja con un servicio en la nube como Azure , que puede requerir una transferencia constante de datos. El ancho de banda también permite realizar consultas y actualizaciones de bases de datos de manera eficiente sin demasiada latencia, lo que es clave para mantener la operatividad en tiempo real</t>
  </si>
  <si>
    <t>Microsoft Azure</t>
  </si>
  <si>
    <t>https://azure.microsoft.com/es-es/pricing/purchase-options/</t>
  </si>
  <si>
    <t>Su escalabilidad, confiabilidad y seguridad. Permite ajustar los recursos según las necesidades de la empresa, asegurando que el sistema pueda crecer junto con la demanda sin interrupciones. Gracias a su infraestructura global y su alta disponibilidad, Azure garantiza que el software de gestión esté siempre accesible, lo que es esencial para las operaciones en tiempo real de almacenes. Además, ofrece un entorno seguro con opciones avanzadas de cifrado y gestión de identidades, lo que protege datos sensibles como inventarios y transacciones.</t>
  </si>
  <si>
    <t>Google cloud</t>
  </si>
  <si>
    <t>https://cloud.google.com/?utm_source=google&amp;utm_medium=cpc&amp;utm_campaign=latam-CO-all-es-dr-BKWS-all-all-trial-e-dr-1707800-LUAC0010194&amp;utm_content=text-ad-none-any-DEV_c-CRE_512364917171-ADGP_Hybrid+%7C+BKWS+-+EXA+%7C+Txt_GCP-General-KWID_43700062784667356-kwd-301173107424&amp;utm_term=KW_google%20cloud-ST_Google+Cloud&amp;gad_source=1&amp;gclid=CjwKCAiA6t-6BhA3EiwAltRFGPkTcLHsEXCrmMJ3qhS1EryaJeGfq9M3ls0MVmOdRrJ8G0P4_kWx8RoCw5UQAvD_BwE&amp;gclsrc=aw.ds</t>
  </si>
  <si>
    <t>Ofrece almacenamiento en la nube confiable y seguro con opciones como Google Cloud Storage , ideal para manejar grandes volúmenes de datos de inventarios, transacciones y registros de productos. Además, sus máquinas virtuales (Compute Engine) permiten ejecutar el software de manera rápida y escalable, adaptándose al crecimiento de la empresa sin necesidad de infraestructura física costosa.</t>
  </si>
  <si>
    <t>MySQL</t>
  </si>
  <si>
    <t>https://dev.mysql.com/downloads/installer/</t>
  </si>
  <si>
    <r>
      <rPr>
        <rFont val="Calibri"/>
        <color theme="1"/>
        <sz val="11.0"/>
      </rPr>
      <t xml:space="preserve">Como un sistema de gestión de bases de datos relacionales, MySQL permite organizar los datos de manera estructurada, lo que es fundamental para un software de gestión de almacenes que maneja inventarios, transacciones, proveedores y productos. Su </t>
    </r>
    <r>
      <rPr>
        <rFont val="Calibri"/>
        <b/>
        <color theme="1"/>
        <sz val="11.0"/>
      </rPr>
      <t>velocidad</t>
    </r>
    <r>
      <rPr>
        <rFont val="Calibri"/>
        <color theme="1"/>
        <sz val="11.0"/>
      </rPr>
      <t xml:space="preserve"> de procesamiento es excelente para manejar grandes cantidades de datos y realizar consultas rápidas, lo cual es crucial para mantener actualizado el inventario en tiempo real.</t>
    </r>
  </si>
  <si>
    <t>SQLite</t>
  </si>
  <si>
    <t>https://www.sqlite.org/index.html</t>
  </si>
  <si>
    <t>Su ligereza, rapidez y simplicidad. Al ser una base de datos incrustada, no requiere un servidor independiente, lo que reduce la infraestructura necesaria. Su funcionamiento basado en un solo archivo permite operaciones rápidas de lectura y escritura, esenciales para gestionar inventarios y transacciones en tiempo real. Además, su bajo consumo de recursos lo hace perfecto para equipos con especificaciones modestas. SQLite también ofrece portabilidad, lo que facilita mover o respaldar la base de datos sin complicaciones.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</si>
</sst>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 #,##0"/>
    <numFmt numFmtId="165" formatCode="&quot;$&quot;#,##0"/>
    <numFmt numFmtId="166" formatCode="yyyy/mm/dd"/>
    <numFmt numFmtId="167" formatCode="&quot;$&quot;\ #,##0;[Red]\-&quot;$&quot;\ #,##0"/>
  </numFmts>
  <fonts count="16">
    <font>
      <sz val="11.0"/>
      <color theme="1"/>
      <name val="Calibri"/>
      <scheme val="minor"/>
    </font>
    <font>
      <b/>
      <sz val="11.0"/>
      <color theme="1"/>
      <name val="Roboto"/>
    </font>
    <font>
      <b/>
      <sz val="11.0"/>
      <color theme="0"/>
      <name val="Roboto"/>
    </font>
    <font>
      <sz val="11.0"/>
      <color theme="1"/>
      <name val="Calibri"/>
    </font>
    <font>
      <b/>
      <sz val="16.0"/>
      <color theme="1"/>
      <name val="Calibri"/>
    </font>
    <font/>
    <font>
      <b/>
      <sz val="11.0"/>
      <color theme="1"/>
      <name val="Calibri"/>
    </font>
    <font>
      <sz val="16.0"/>
      <color theme="1"/>
      <name val="Calibri"/>
    </font>
    <font>
      <sz val="12.0"/>
      <color theme="1"/>
      <name val="Calibri"/>
    </font>
    <font>
      <color theme="1"/>
      <name val="Calibri"/>
    </font>
    <font>
      <color theme="1"/>
      <name val="Calibri"/>
      <scheme val="minor"/>
    </font>
    <font>
      <sz val="12.0"/>
      <color rgb="FF444444"/>
      <name val="Calibri"/>
    </font>
    <font>
      <b/>
      <sz val="9.0"/>
      <color theme="1"/>
      <name val="Roboto"/>
    </font>
    <font>
      <u/>
      <sz val="11.0"/>
      <color theme="10"/>
      <name val="Calibri"/>
    </font>
    <font>
      <u/>
      <sz val="11.0"/>
      <color theme="10"/>
      <name val="Calibri"/>
    </font>
    <font>
      <u/>
      <sz val="11.0"/>
      <color theme="10"/>
      <name val="Calibri"/>
    </font>
  </fonts>
  <fills count="6">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s>
  <borders count="9">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rder>
    <border>
      <right/>
      <top/>
      <bottom/>
    </border>
    <border>
      <right/>
      <top/>
    </border>
    <border>
      <left/>
      <right/>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2" fillId="3" fontId="2" numFmtId="164" xfId="0" applyAlignment="1" applyBorder="1" applyFont="1" applyNumberFormat="1">
      <alignment horizontal="center" shrinkToFit="0" vertical="center" wrapText="1"/>
    </xf>
    <xf borderId="2" fillId="4" fontId="3" numFmtId="0" xfId="0" applyBorder="1" applyFill="1" applyFont="1"/>
    <xf borderId="3" fillId="5" fontId="4" numFmtId="0" xfId="0" applyAlignment="1" applyBorder="1" applyFill="1" applyFont="1">
      <alignment horizontal="center" shrinkToFit="0" vertical="center" wrapText="1"/>
    </xf>
    <xf borderId="4" fillId="0" fontId="5" numFmtId="0" xfId="0" applyBorder="1" applyFont="1"/>
    <xf borderId="2" fillId="3" fontId="4" numFmtId="0" xfId="0" applyAlignment="1" applyBorder="1" applyFont="1">
      <alignment horizontal="center" shrinkToFit="0" vertical="center" wrapText="1"/>
    </xf>
    <xf borderId="2" fillId="3" fontId="4" numFmtId="164" xfId="0" applyAlignment="1" applyBorder="1" applyFont="1" applyNumberFormat="1">
      <alignment horizontal="center" shrinkToFit="0" vertical="center" wrapText="1"/>
    </xf>
    <xf borderId="1" fillId="4" fontId="6" numFmtId="0" xfId="0" applyBorder="1" applyFont="1"/>
    <xf borderId="1" fillId="4" fontId="3" numFmtId="0" xfId="0" applyAlignment="1" applyBorder="1" applyFont="1">
      <alignment readingOrder="0"/>
    </xf>
    <xf borderId="2" fillId="3" fontId="3" numFmtId="0" xfId="0" applyBorder="1" applyFont="1"/>
    <xf borderId="2" fillId="4" fontId="3" numFmtId="164" xfId="0" applyBorder="1" applyFont="1" applyNumberFormat="1"/>
    <xf borderId="1" fillId="4" fontId="3" numFmtId="0" xfId="0" applyBorder="1" applyFont="1"/>
    <xf borderId="1" fillId="0" fontId="3" numFmtId="0" xfId="0" applyAlignment="1" applyBorder="1" applyFont="1">
      <alignment readingOrder="0"/>
    </xf>
    <xf borderId="1" fillId="4" fontId="6" numFmtId="0" xfId="0" applyAlignment="1" applyBorder="1" applyFont="1">
      <alignment horizontal="left" vertical="center"/>
    </xf>
    <xf borderId="1" fillId="4" fontId="3" numFmtId="0" xfId="0" applyAlignment="1" applyBorder="1" applyFont="1">
      <alignment readingOrder="0" shrinkToFit="0" wrapText="1"/>
    </xf>
    <xf borderId="2" fillId="4" fontId="3" numFmtId="164" xfId="0" applyAlignment="1" applyBorder="1" applyFont="1" applyNumberFormat="1">
      <alignment shrinkToFit="0" wrapText="1"/>
    </xf>
    <xf borderId="5" fillId="3" fontId="4" numFmtId="0" xfId="0" applyAlignment="1" applyBorder="1" applyFont="1">
      <alignment horizontal="center" shrinkToFit="0" vertical="center" wrapText="1"/>
    </xf>
    <xf borderId="3" fillId="2" fontId="6" numFmtId="0" xfId="0" applyAlignment="1" applyBorder="1" applyFont="1">
      <alignment horizontal="center"/>
    </xf>
    <xf borderId="1" fillId="4" fontId="6" numFmtId="0" xfId="0" applyAlignment="1" applyBorder="1" applyFont="1">
      <alignment horizontal="center"/>
    </xf>
    <xf borderId="2" fillId="3" fontId="7" numFmtId="164" xfId="0" applyAlignment="1" applyBorder="1" applyFont="1" applyNumberFormat="1">
      <alignment horizontal="center" shrinkToFit="0" vertical="center" wrapText="1"/>
    </xf>
    <xf borderId="0" fillId="0" fontId="8" numFmtId="0" xfId="0" applyAlignment="1" applyFont="1">
      <alignment readingOrder="0" shrinkToFit="0" vertical="center" wrapText="1"/>
    </xf>
    <xf borderId="1" fillId="3" fontId="3" numFmtId="0" xfId="0" applyAlignment="1" applyBorder="1" applyFont="1">
      <alignment horizontal="left" vertical="center"/>
    </xf>
    <xf borderId="3" fillId="4" fontId="3" numFmtId="0" xfId="0" applyAlignment="1" applyBorder="1" applyFont="1">
      <alignment readingOrder="0" shrinkToFit="0" wrapText="1"/>
    </xf>
    <xf borderId="1" fillId="3" fontId="3" numFmtId="0" xfId="0" applyBorder="1" applyFont="1"/>
    <xf borderId="6" fillId="4" fontId="3" numFmtId="0" xfId="0" applyBorder="1" applyFont="1"/>
    <xf borderId="1" fillId="0" fontId="9" numFmtId="0" xfId="0" applyBorder="1" applyFont="1"/>
    <xf borderId="0" fillId="0" fontId="10" numFmtId="0" xfId="0" applyAlignment="1" applyFont="1">
      <alignment readingOrder="0"/>
    </xf>
    <xf borderId="1" fillId="2" fontId="6" numFmtId="0" xfId="0" applyAlignment="1" applyBorder="1" applyFont="1">
      <alignment horizontal="center" readingOrder="0"/>
    </xf>
    <xf borderId="1" fillId="0" fontId="11" numFmtId="0" xfId="0" applyAlignment="1" applyBorder="1" applyFont="1">
      <alignment readingOrder="0" shrinkToFit="0" vertical="center" wrapText="1"/>
    </xf>
    <xf borderId="1" fillId="3" fontId="3" numFmtId="165" xfId="0" applyAlignment="1" applyBorder="1" applyFont="1" applyNumberFormat="1">
      <alignment readingOrder="0"/>
    </xf>
    <xf borderId="1" fillId="0" fontId="9" numFmtId="0" xfId="0" applyAlignment="1" applyBorder="1" applyFont="1">
      <alignment readingOrder="0"/>
    </xf>
    <xf borderId="1" fillId="0" fontId="9" numFmtId="165" xfId="0" applyAlignment="1" applyBorder="1" applyFont="1" applyNumberFormat="1">
      <alignment readingOrder="0"/>
    </xf>
    <xf borderId="0" fillId="0" fontId="9" numFmtId="3" xfId="0" applyAlignment="1" applyFont="1" applyNumberFormat="1">
      <alignment horizontal="left"/>
    </xf>
    <xf borderId="1" fillId="3" fontId="3" numFmtId="165" xfId="0" applyBorder="1" applyFont="1" applyNumberFormat="1"/>
    <xf borderId="6" fillId="4" fontId="3" numFmtId="0" xfId="0" applyAlignment="1" applyBorder="1" applyFont="1">
      <alignment shrinkToFit="0" wrapText="1"/>
    </xf>
    <xf borderId="3" fillId="4" fontId="3" numFmtId="0" xfId="0" applyBorder="1" applyFont="1"/>
    <xf borderId="1" fillId="0" fontId="11" numFmtId="0" xfId="0" applyAlignment="1" applyBorder="1" applyFont="1">
      <alignment horizontal="left" readingOrder="0" shrinkToFit="0" wrapText="1"/>
    </xf>
    <xf borderId="1" fillId="3" fontId="3" numFmtId="165" xfId="0" applyAlignment="1" applyBorder="1" applyFont="1" applyNumberFormat="1">
      <alignment horizontal="right" readingOrder="0" shrinkToFit="0" wrapText="1"/>
    </xf>
    <xf borderId="1" fillId="4" fontId="3" numFmtId="0" xfId="0" applyAlignment="1" applyBorder="1" applyFont="1">
      <alignment horizontal="left" readingOrder="0"/>
    </xf>
    <xf borderId="1" fillId="3" fontId="3" numFmtId="165" xfId="0" applyAlignment="1" applyBorder="1" applyFont="1" applyNumberFormat="1">
      <alignment horizontal="right" readingOrder="0"/>
    </xf>
    <xf borderId="1" fillId="0" fontId="9" numFmtId="3" xfId="0" applyAlignment="1" applyBorder="1" applyFont="1" applyNumberFormat="1">
      <alignment horizontal="left"/>
    </xf>
    <xf borderId="1" fillId="3" fontId="3" numFmtId="165" xfId="0" applyAlignment="1" applyBorder="1" applyFont="1" applyNumberFormat="1">
      <alignment horizontal="right"/>
    </xf>
    <xf borderId="1" fillId="4" fontId="3" numFmtId="0" xfId="0" applyAlignment="1" applyBorder="1" applyFont="1">
      <alignment horizontal="center"/>
    </xf>
    <xf borderId="1" fillId="4" fontId="3" numFmtId="165" xfId="0" applyAlignment="1" applyBorder="1" applyFont="1" applyNumberFormat="1">
      <alignment readingOrder="0"/>
    </xf>
    <xf borderId="1" fillId="4" fontId="3" numFmtId="165" xfId="0" applyBorder="1" applyFont="1" applyNumberFormat="1"/>
    <xf borderId="7" fillId="4" fontId="3" numFmtId="0" xfId="0" applyBorder="1" applyFont="1"/>
    <xf borderId="8" fillId="4" fontId="3" numFmtId="0" xfId="0" applyBorder="1" applyFont="1"/>
    <xf borderId="1" fillId="2" fontId="12" numFmtId="0" xfId="0" applyAlignment="1" applyBorder="1" applyFont="1">
      <alignment horizontal="center" shrinkToFit="0" vertical="center" wrapText="1"/>
    </xf>
    <xf borderId="1" fillId="4" fontId="6" numFmtId="166" xfId="0" applyAlignment="1" applyBorder="1" applyFont="1" applyNumberFormat="1">
      <alignment horizontal="center"/>
    </xf>
    <xf borderId="8" fillId="4" fontId="3" numFmtId="164" xfId="0" applyBorder="1" applyFont="1" applyNumberFormat="1"/>
    <xf borderId="1" fillId="0" fontId="3" numFmtId="0" xfId="0" applyBorder="1" applyFont="1"/>
    <xf borderId="1" fillId="0" fontId="11" numFmtId="0" xfId="0" applyAlignment="1" applyBorder="1" applyFont="1">
      <alignment shrinkToFit="0" vertical="center" wrapText="1"/>
    </xf>
    <xf borderId="1" fillId="4" fontId="3" numFmtId="164" xfId="0" applyAlignment="1" applyBorder="1" applyFont="1" applyNumberFormat="1">
      <alignment shrinkToFit="0" vertical="center" wrapText="1"/>
    </xf>
    <xf borderId="1" fillId="0" fontId="13" numFmtId="0" xfId="0" applyAlignment="1" applyBorder="1" applyFont="1">
      <alignment shrinkToFit="0" vertical="center" wrapText="1"/>
    </xf>
    <xf borderId="1" fillId="0" fontId="3" numFmtId="0" xfId="0" applyAlignment="1" applyBorder="1" applyFont="1">
      <alignment shrinkToFit="0" wrapText="1"/>
    </xf>
    <xf borderId="1" fillId="0" fontId="8" numFmtId="167" xfId="0" applyBorder="1" applyFont="1" applyNumberFormat="1"/>
    <xf borderId="1" fillId="0" fontId="14" numFmtId="0" xfId="0" applyAlignment="1" applyBorder="1" applyFont="1">
      <alignment shrinkToFit="0" wrapText="1"/>
    </xf>
    <xf borderId="1" fillId="0" fontId="11" numFmtId="0" xfId="0" applyAlignment="1" applyBorder="1" applyFont="1">
      <alignment horizontal="center" shrinkToFit="0" wrapText="1"/>
    </xf>
    <xf borderId="0" fillId="0" fontId="3" numFmtId="0" xfId="0" applyAlignment="1" applyFont="1">
      <alignment shrinkToFit="0" wrapText="1"/>
    </xf>
    <xf borderId="1" fillId="0" fontId="3" numFmtId="164" xfId="0" applyBorder="1" applyFont="1" applyNumberFormat="1"/>
    <xf borderId="1" fillId="0" fontId="15" numFmtId="0" xfId="0" applyBorder="1" applyFont="1"/>
    <xf borderId="1" fillId="0" fontId="3" numFmtId="167"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lkosto.com/computador-portatil-acer-aspire-14-pulgadas-353y-intel-core-i3-ram-8gb-disco-ssd-512gb-plateado/p/4711121676444" TargetMode="External"/><Relationship Id="rId2" Type="http://schemas.openxmlformats.org/officeDocument/2006/relationships/hyperlink" Target="https://www.alkosto.com/computador-portatil-hp-14-pulgadas-dq0532la-intel-celeron-ram-4gb-disco-ssd-128-gb-plata/p/198122844265" TargetMode="External"/><Relationship Id="rId3" Type="http://schemas.openxmlformats.org/officeDocument/2006/relationships/hyperlink" Target="https://www.alkosto.com/computador-portatil-lenovo-ideapad-slim-3-156-pulgadas-15ian8-intel-core-i3-ram-8gb-disco-ssd-512gb-gris/p/197532261303?algEvent=eyJvYmplY3RJZCI6IjE5NzUzMjI2MTMwMyIsImluZGV4IjoiYWxrb3N0b0luZGV4QWxnb2xpYVBSRCIsImFjdGlvbiI6InZpZXciLCJxdWVyeUlEIjoiMWY3MDQyYjZhM2RmNGE2YmVlYTk4MzlmODhlNWQ5MmMifQ==" TargetMode="External"/><Relationship Id="rId4" Type="http://schemas.openxmlformats.org/officeDocument/2006/relationships/hyperlink" Target="https://www.tigo.com.co/internet/planes?twclid=11428551481905516549" TargetMode="External"/><Relationship Id="rId10" Type="http://schemas.openxmlformats.org/officeDocument/2006/relationships/drawing" Target="../drawings/drawing2.xml"/><Relationship Id="rId9" Type="http://schemas.openxmlformats.org/officeDocument/2006/relationships/hyperlink" Target="https://www.sqlite.org/index.html" TargetMode="External"/><Relationship Id="rId5" Type="http://schemas.openxmlformats.org/officeDocument/2006/relationships/hyperlink" Target="https://etb.com/hogares/Bogota.aspx?plan=duo" TargetMode="External"/><Relationship Id="rId6" Type="http://schemas.openxmlformats.org/officeDocument/2006/relationships/hyperlink" Target="https://azure.microsoft.com/es-es/pricing/purchase-options/" TargetMode="External"/><Relationship Id="rId7" Type="http://schemas.openxmlformats.org/officeDocument/2006/relationships/hyperlink" Target="https://cloud.google.com/?utm_source=google&amp;utm_medium=cpc&amp;utm_campaign=latam-CO-all-es-dr-BKWS-all-all-trial-e-dr-1707800-LUAC0010194&amp;utm_content=text-ad-none-any-DEV_c-CRE_512364917171-ADGP_Hybrid+%7C+BKWS+-+EXA+%7C+Txt_GCP-General-KWID_43700062784667356-kwd-301173107424&amp;utm_term=KW_google%20cloud-ST_Google+Cloud&amp;gad_source=1&amp;gclid=CjwKCAiA6t-6BhA3EiwAltRFGPkTcLHsEXCrmMJ3qhS1EryaJeGfq9M3ls0MVmOdRrJ8G0P4_kWx8RoCw5UQAvD_BwE&amp;gclsrc=aw.ds" TargetMode="External"/><Relationship Id="rId8" Type="http://schemas.openxmlformats.org/officeDocument/2006/relationships/hyperlink" Target="https://dev.mysql.com/downloads/install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57"/>
    <col customWidth="1" min="2" max="2" width="96.86"/>
    <col customWidth="1" min="3" max="3" width="15.14"/>
    <col customWidth="1" min="4" max="4" width="11.86"/>
    <col customWidth="1" min="5" max="5" width="14.71"/>
    <col customWidth="1" min="6" max="6" width="20.57"/>
    <col customWidth="1" min="7" max="8" width="11.43"/>
    <col customWidth="1" min="9" max="9" width="11.57"/>
    <col customWidth="1" min="10" max="26" width="11.43"/>
  </cols>
  <sheetData>
    <row r="1" ht="38.25" customHeight="1">
      <c r="A1" s="1" t="s">
        <v>0</v>
      </c>
      <c r="B1" s="1" t="s">
        <v>1</v>
      </c>
      <c r="C1" s="2"/>
      <c r="D1" s="3"/>
      <c r="E1" s="4"/>
      <c r="F1" s="4"/>
      <c r="G1" s="4"/>
      <c r="H1" s="4"/>
      <c r="I1" s="4"/>
      <c r="J1" s="4"/>
      <c r="K1" s="4"/>
      <c r="L1" s="4"/>
      <c r="M1" s="4"/>
      <c r="N1" s="4"/>
      <c r="O1" s="4"/>
      <c r="P1" s="4"/>
      <c r="Q1" s="4"/>
      <c r="R1" s="4"/>
      <c r="S1" s="4"/>
      <c r="T1" s="4"/>
      <c r="U1" s="4"/>
      <c r="V1" s="4"/>
      <c r="W1" s="4"/>
      <c r="X1" s="4"/>
      <c r="Y1" s="4"/>
      <c r="Z1" s="4"/>
    </row>
    <row r="2" ht="21.0" customHeight="1">
      <c r="A2" s="5" t="s">
        <v>2</v>
      </c>
      <c r="B2" s="6"/>
      <c r="C2" s="7"/>
      <c r="D2" s="8"/>
      <c r="E2" s="4"/>
      <c r="F2" s="4"/>
      <c r="G2" s="4"/>
      <c r="H2" s="4"/>
      <c r="I2" s="4"/>
      <c r="J2" s="4"/>
      <c r="K2" s="4"/>
      <c r="L2" s="4"/>
      <c r="M2" s="4"/>
      <c r="N2" s="4"/>
      <c r="O2" s="4"/>
      <c r="P2" s="4"/>
      <c r="Q2" s="4"/>
      <c r="R2" s="4"/>
      <c r="S2" s="4"/>
      <c r="T2" s="4"/>
      <c r="U2" s="4"/>
      <c r="V2" s="4"/>
      <c r="W2" s="4"/>
      <c r="X2" s="4"/>
      <c r="Y2" s="4"/>
      <c r="Z2" s="4"/>
    </row>
    <row r="3">
      <c r="A3" s="9" t="s">
        <v>3</v>
      </c>
      <c r="B3" s="10" t="s">
        <v>4</v>
      </c>
      <c r="C3" s="11"/>
      <c r="D3" s="12"/>
      <c r="E3" s="4"/>
      <c r="F3" s="4"/>
      <c r="G3" s="4"/>
      <c r="H3" s="4"/>
      <c r="I3" s="4"/>
      <c r="J3" s="4"/>
      <c r="K3" s="4"/>
      <c r="L3" s="4"/>
      <c r="M3" s="4"/>
      <c r="N3" s="4"/>
      <c r="O3" s="4"/>
      <c r="P3" s="4"/>
      <c r="Q3" s="4"/>
      <c r="R3" s="4"/>
      <c r="S3" s="4"/>
      <c r="T3" s="4"/>
      <c r="U3" s="4"/>
      <c r="V3" s="4"/>
      <c r="W3" s="4"/>
      <c r="X3" s="4"/>
      <c r="Y3" s="4"/>
      <c r="Z3" s="4"/>
    </row>
    <row r="4">
      <c r="A4" s="9" t="s">
        <v>5</v>
      </c>
      <c r="B4" s="13" t="s">
        <v>6</v>
      </c>
      <c r="C4" s="11"/>
      <c r="D4" s="12"/>
      <c r="E4" s="4"/>
      <c r="F4" s="4"/>
      <c r="G4" s="4"/>
      <c r="H4" s="4"/>
      <c r="J4" s="4"/>
      <c r="K4" s="4"/>
      <c r="L4" s="4"/>
      <c r="M4" s="4"/>
      <c r="N4" s="4"/>
      <c r="O4" s="4"/>
      <c r="P4" s="4"/>
      <c r="Q4" s="4"/>
      <c r="R4" s="4"/>
      <c r="S4" s="4"/>
      <c r="T4" s="4"/>
      <c r="U4" s="4"/>
      <c r="V4" s="4"/>
      <c r="W4" s="4"/>
      <c r="X4" s="4"/>
      <c r="Y4" s="4"/>
      <c r="Z4" s="4"/>
    </row>
    <row r="5">
      <c r="A5" s="9" t="s">
        <v>7</v>
      </c>
      <c r="B5" s="13" t="s">
        <v>8</v>
      </c>
      <c r="C5" s="11"/>
      <c r="D5" s="12"/>
      <c r="E5" s="4"/>
      <c r="F5" s="4"/>
      <c r="G5" s="4"/>
      <c r="H5" s="4"/>
      <c r="J5" s="4"/>
      <c r="K5" s="4"/>
      <c r="L5" s="4"/>
      <c r="M5" s="4"/>
      <c r="N5" s="4"/>
      <c r="O5" s="4"/>
      <c r="P5" s="4"/>
      <c r="Q5" s="4"/>
      <c r="R5" s="4"/>
      <c r="S5" s="4"/>
      <c r="T5" s="4"/>
      <c r="U5" s="4"/>
      <c r="V5" s="4"/>
      <c r="W5" s="4"/>
      <c r="X5" s="4"/>
      <c r="Y5" s="4"/>
      <c r="Z5" s="4"/>
    </row>
    <row r="6">
      <c r="A6" s="9" t="s">
        <v>9</v>
      </c>
      <c r="B6" s="13" t="s">
        <v>10</v>
      </c>
      <c r="C6" s="11"/>
      <c r="D6" s="12"/>
      <c r="E6" s="4"/>
      <c r="F6" s="4"/>
      <c r="G6" s="4"/>
      <c r="H6" s="4"/>
      <c r="J6" s="4"/>
      <c r="K6" s="4"/>
      <c r="L6" s="4"/>
      <c r="M6" s="4"/>
      <c r="N6" s="4"/>
      <c r="O6" s="4"/>
      <c r="P6" s="4"/>
      <c r="Q6" s="4"/>
      <c r="R6" s="4"/>
      <c r="S6" s="4"/>
      <c r="T6" s="4"/>
      <c r="U6" s="4"/>
      <c r="V6" s="4"/>
      <c r="W6" s="4"/>
      <c r="X6" s="4"/>
      <c r="Y6" s="4"/>
      <c r="Z6" s="4"/>
    </row>
    <row r="7">
      <c r="A7" s="9" t="s">
        <v>11</v>
      </c>
      <c r="B7" s="14" t="s">
        <v>12</v>
      </c>
      <c r="C7" s="11"/>
      <c r="D7" s="12"/>
      <c r="E7" s="4"/>
      <c r="F7" s="4"/>
      <c r="G7" s="4"/>
      <c r="H7" s="4"/>
      <c r="I7" s="4"/>
      <c r="J7" s="4"/>
      <c r="K7" s="4"/>
      <c r="L7" s="4"/>
      <c r="M7" s="4"/>
      <c r="N7" s="4"/>
      <c r="O7" s="4"/>
      <c r="P7" s="4"/>
      <c r="Q7" s="4"/>
      <c r="R7" s="4"/>
      <c r="S7" s="4"/>
      <c r="T7" s="4"/>
      <c r="U7" s="4"/>
      <c r="V7" s="4"/>
      <c r="W7" s="4"/>
      <c r="X7" s="4"/>
      <c r="Y7" s="4"/>
      <c r="Z7" s="4"/>
    </row>
    <row r="8" ht="21.0" customHeight="1">
      <c r="A8" s="5" t="s">
        <v>13</v>
      </c>
      <c r="B8" s="6"/>
      <c r="C8" s="7"/>
      <c r="D8" s="8"/>
      <c r="E8" s="4"/>
      <c r="F8" s="4"/>
      <c r="G8" s="4"/>
      <c r="I8" s="4"/>
      <c r="J8" s="4"/>
      <c r="K8" s="4"/>
      <c r="L8" s="4"/>
      <c r="M8" s="4"/>
      <c r="N8" s="4"/>
      <c r="O8" s="4"/>
      <c r="P8" s="4"/>
      <c r="Q8" s="4"/>
      <c r="R8" s="4"/>
      <c r="S8" s="4"/>
      <c r="T8" s="4"/>
      <c r="U8" s="4"/>
      <c r="V8" s="4"/>
      <c r="W8" s="4"/>
      <c r="X8" s="4"/>
      <c r="Y8" s="4"/>
      <c r="Z8" s="4"/>
    </row>
    <row r="9">
      <c r="A9" s="15" t="s">
        <v>14</v>
      </c>
      <c r="B9" s="16" t="s">
        <v>15</v>
      </c>
      <c r="D9" s="17"/>
      <c r="E9" s="4"/>
      <c r="F9" s="4"/>
      <c r="G9" s="4"/>
      <c r="H9" s="4"/>
      <c r="I9" s="4"/>
      <c r="J9" s="4"/>
      <c r="K9" s="4"/>
      <c r="L9" s="4"/>
      <c r="M9" s="4"/>
      <c r="N9" s="4"/>
      <c r="O9" s="4"/>
      <c r="P9" s="4"/>
      <c r="Q9" s="4"/>
      <c r="R9" s="4"/>
      <c r="S9" s="4"/>
      <c r="T9" s="4"/>
      <c r="U9" s="4"/>
      <c r="V9" s="4"/>
      <c r="W9" s="4"/>
      <c r="X9" s="4"/>
      <c r="Y9" s="4"/>
      <c r="Z9" s="4"/>
    </row>
    <row r="10">
      <c r="A10" s="9" t="s">
        <v>16</v>
      </c>
      <c r="B10" s="16" t="s">
        <v>17</v>
      </c>
      <c r="C10" s="11"/>
      <c r="D10" s="12"/>
      <c r="E10" s="4"/>
      <c r="F10" s="4"/>
      <c r="G10" s="4"/>
      <c r="H10" s="4"/>
      <c r="I10" s="4"/>
      <c r="J10" s="4"/>
      <c r="K10" s="4"/>
      <c r="L10" s="4"/>
      <c r="M10" s="4"/>
      <c r="N10" s="4"/>
      <c r="O10" s="4"/>
      <c r="P10" s="4"/>
      <c r="Q10" s="4"/>
      <c r="R10" s="4"/>
      <c r="S10" s="4"/>
      <c r="T10" s="4"/>
      <c r="U10" s="4"/>
      <c r="V10" s="4"/>
      <c r="W10" s="4"/>
      <c r="X10" s="4"/>
      <c r="Y10" s="4"/>
      <c r="Z10" s="4"/>
    </row>
    <row r="11">
      <c r="A11" s="5" t="s">
        <v>18</v>
      </c>
      <c r="B11" s="6"/>
      <c r="C11" s="7"/>
      <c r="D11" s="8"/>
      <c r="E11" s="4"/>
      <c r="F11" s="4"/>
      <c r="G11" s="4"/>
      <c r="H11" s="4"/>
      <c r="I11" s="4"/>
      <c r="J11" s="4"/>
      <c r="K11" s="4"/>
      <c r="L11" s="4"/>
      <c r="M11" s="4"/>
      <c r="N11" s="4"/>
      <c r="O11" s="4"/>
      <c r="P11" s="4"/>
      <c r="Q11" s="4"/>
      <c r="R11" s="4"/>
      <c r="S11" s="4"/>
      <c r="T11" s="4"/>
      <c r="U11" s="4"/>
      <c r="V11" s="4"/>
      <c r="W11" s="4"/>
      <c r="X11" s="4"/>
      <c r="Y11" s="4"/>
      <c r="Z11" s="4"/>
    </row>
    <row r="12">
      <c r="A12" s="9" t="s">
        <v>19</v>
      </c>
      <c r="B12" s="10" t="s">
        <v>20</v>
      </c>
      <c r="C12" s="11"/>
      <c r="D12" s="12"/>
      <c r="E12" s="4"/>
      <c r="F12" s="4"/>
      <c r="G12" s="4"/>
      <c r="H12" s="4"/>
      <c r="I12" s="4"/>
      <c r="J12" s="4"/>
      <c r="K12" s="4"/>
      <c r="L12" s="4"/>
      <c r="M12" s="4"/>
      <c r="N12" s="4"/>
      <c r="O12" s="4"/>
      <c r="P12" s="4"/>
      <c r="Q12" s="4"/>
      <c r="R12" s="4"/>
      <c r="S12" s="4"/>
      <c r="T12" s="4"/>
      <c r="U12" s="4"/>
      <c r="V12" s="4"/>
      <c r="W12" s="4"/>
      <c r="X12" s="4"/>
      <c r="Y12" s="4"/>
      <c r="Z12" s="4"/>
    </row>
    <row r="13" ht="21.0" customHeight="1">
      <c r="A13" s="5" t="s">
        <v>21</v>
      </c>
      <c r="B13" s="6"/>
      <c r="C13" s="18"/>
      <c r="D13" s="8"/>
      <c r="E13" s="4"/>
      <c r="F13" s="4"/>
      <c r="G13" s="4"/>
      <c r="H13" s="4"/>
      <c r="I13" s="4"/>
      <c r="J13" s="4"/>
      <c r="K13" s="4"/>
      <c r="L13" s="4"/>
      <c r="M13" s="4"/>
      <c r="N13" s="4"/>
      <c r="O13" s="4"/>
      <c r="P13" s="4"/>
      <c r="Q13" s="4"/>
      <c r="R13" s="4"/>
      <c r="S13" s="4"/>
      <c r="T13" s="4"/>
      <c r="U13" s="4"/>
      <c r="V13" s="4"/>
      <c r="W13" s="4"/>
      <c r="X13" s="4"/>
      <c r="Y13" s="4"/>
      <c r="Z13" s="4"/>
    </row>
    <row r="14">
      <c r="A14" s="19" t="s">
        <v>22</v>
      </c>
      <c r="B14" s="6"/>
      <c r="C14" s="20"/>
      <c r="D14" s="21"/>
      <c r="E14" s="4"/>
      <c r="F14" s="4"/>
      <c r="G14" s="4"/>
      <c r="H14" s="4"/>
      <c r="I14" s="4"/>
      <c r="J14" s="4"/>
      <c r="K14" s="4"/>
      <c r="L14" s="4"/>
      <c r="M14" s="4"/>
      <c r="N14" s="4"/>
      <c r="O14" s="4"/>
      <c r="P14" s="4"/>
      <c r="Q14" s="4"/>
      <c r="R14" s="4"/>
      <c r="S14" s="4"/>
      <c r="T14" s="4"/>
      <c r="U14" s="4"/>
      <c r="V14" s="4"/>
      <c r="W14" s="4"/>
      <c r="X14" s="4"/>
      <c r="Y14" s="4"/>
      <c r="Z14" s="4"/>
    </row>
    <row r="15">
      <c r="A15" s="15" t="s">
        <v>23</v>
      </c>
      <c r="B15" s="22" t="s">
        <v>24</v>
      </c>
      <c r="C15" s="23"/>
      <c r="D15" s="8"/>
      <c r="E15" s="4"/>
      <c r="F15" s="4"/>
      <c r="G15" s="4"/>
      <c r="H15" s="4"/>
      <c r="I15" s="4"/>
      <c r="J15" s="4"/>
      <c r="K15" s="4"/>
      <c r="L15" s="4"/>
      <c r="M15" s="4"/>
      <c r="N15" s="4"/>
      <c r="O15" s="4"/>
      <c r="P15" s="4"/>
      <c r="Q15" s="4"/>
      <c r="R15" s="4"/>
      <c r="S15" s="4"/>
      <c r="T15" s="4"/>
      <c r="U15" s="4"/>
      <c r="V15" s="4"/>
      <c r="W15" s="4"/>
      <c r="X15" s="4"/>
      <c r="Y15" s="4"/>
      <c r="Z15" s="4"/>
    </row>
    <row r="16">
      <c r="A16" s="15" t="s">
        <v>25</v>
      </c>
      <c r="B16" s="24" t="s">
        <v>26</v>
      </c>
      <c r="C16" s="25"/>
      <c r="D16" s="8"/>
      <c r="E16" s="4"/>
      <c r="F16" s="26"/>
      <c r="G16" s="4"/>
      <c r="H16" s="4"/>
      <c r="I16" s="4"/>
      <c r="J16" s="4"/>
      <c r="K16" s="4"/>
      <c r="L16" s="4"/>
      <c r="M16" s="4"/>
      <c r="N16" s="4"/>
      <c r="O16" s="4"/>
      <c r="P16" s="4"/>
      <c r="Q16" s="4"/>
      <c r="R16" s="4"/>
      <c r="S16" s="4"/>
      <c r="T16" s="4"/>
      <c r="U16" s="4"/>
      <c r="V16" s="4"/>
      <c r="W16" s="4"/>
      <c r="X16" s="4"/>
      <c r="Y16" s="4"/>
      <c r="Z16" s="4"/>
    </row>
    <row r="17">
      <c r="A17" s="15" t="s">
        <v>27</v>
      </c>
      <c r="B17" s="16" t="s">
        <v>28</v>
      </c>
      <c r="C17" s="27"/>
      <c r="D17" s="8"/>
      <c r="E17" s="4"/>
      <c r="F17" s="26"/>
      <c r="G17" s="4"/>
      <c r="H17" s="4"/>
      <c r="I17" s="4"/>
      <c r="J17" s="4"/>
      <c r="K17" s="4"/>
      <c r="L17" s="4"/>
      <c r="M17" s="4"/>
      <c r="N17" s="4"/>
      <c r="O17" s="4"/>
      <c r="P17" s="4"/>
      <c r="Q17" s="4"/>
      <c r="R17" s="4"/>
      <c r="S17" s="4"/>
      <c r="T17" s="4"/>
      <c r="U17" s="4"/>
      <c r="V17" s="4"/>
      <c r="W17" s="4"/>
      <c r="X17" s="4"/>
      <c r="Y17" s="4"/>
      <c r="Z17" s="4"/>
    </row>
    <row r="18">
      <c r="A18" s="15" t="s">
        <v>29</v>
      </c>
      <c r="B18" s="28" t="s">
        <v>30</v>
      </c>
      <c r="C18" s="25"/>
      <c r="D18" s="8"/>
      <c r="E18" s="4"/>
      <c r="F18" s="26"/>
      <c r="G18" s="4"/>
      <c r="H18" s="4"/>
      <c r="I18" s="4"/>
      <c r="J18" s="4"/>
      <c r="K18" s="4"/>
      <c r="L18" s="4"/>
      <c r="M18" s="4"/>
      <c r="N18" s="4"/>
      <c r="O18" s="4"/>
      <c r="P18" s="4"/>
      <c r="Q18" s="4"/>
      <c r="R18" s="4"/>
      <c r="S18" s="4"/>
      <c r="T18" s="4"/>
      <c r="U18" s="4"/>
      <c r="V18" s="4"/>
      <c r="W18" s="4"/>
      <c r="X18" s="4"/>
      <c r="Y18" s="4"/>
      <c r="Z18" s="4"/>
    </row>
    <row r="19">
      <c r="A19" s="19" t="s">
        <v>31</v>
      </c>
      <c r="B19" s="6"/>
      <c r="C19" s="29" t="s">
        <v>32</v>
      </c>
      <c r="D19" s="8"/>
      <c r="E19" s="4"/>
      <c r="F19" s="26"/>
      <c r="G19" s="4"/>
      <c r="H19" s="4"/>
      <c r="I19" s="4"/>
      <c r="J19" s="4"/>
      <c r="K19" s="4"/>
      <c r="L19" s="4"/>
      <c r="M19" s="4"/>
      <c r="N19" s="4"/>
      <c r="O19" s="4"/>
      <c r="P19" s="4"/>
      <c r="Q19" s="4"/>
      <c r="R19" s="4"/>
      <c r="S19" s="4"/>
      <c r="T19" s="4"/>
      <c r="U19" s="4"/>
      <c r="V19" s="4"/>
      <c r="W19" s="4"/>
      <c r="X19" s="4"/>
      <c r="Y19" s="4"/>
      <c r="Z19" s="4"/>
    </row>
    <row r="20">
      <c r="A20" s="15" t="s">
        <v>23</v>
      </c>
      <c r="B20" s="30" t="s">
        <v>33</v>
      </c>
      <c r="C20" s="31">
        <v>1600000.0</v>
      </c>
      <c r="D20" s="8"/>
      <c r="E20" s="4"/>
      <c r="F20" s="26"/>
      <c r="G20" s="4"/>
      <c r="H20" s="4"/>
      <c r="I20" s="4"/>
      <c r="J20" s="4"/>
      <c r="K20" s="4"/>
      <c r="L20" s="4"/>
      <c r="M20" s="4"/>
      <c r="N20" s="4"/>
      <c r="O20" s="4"/>
      <c r="P20" s="4"/>
      <c r="Q20" s="4"/>
      <c r="R20" s="4"/>
      <c r="S20" s="4"/>
      <c r="T20" s="4"/>
      <c r="U20" s="4"/>
      <c r="V20" s="4"/>
      <c r="W20" s="4"/>
      <c r="X20" s="4"/>
      <c r="Y20" s="4"/>
      <c r="Z20" s="4"/>
    </row>
    <row r="21" ht="15.75" customHeight="1">
      <c r="A21" s="15" t="s">
        <v>34</v>
      </c>
      <c r="B21" s="32" t="s">
        <v>35</v>
      </c>
      <c r="C21" s="33">
        <v>0.0</v>
      </c>
      <c r="D21" s="8"/>
      <c r="E21" s="4"/>
      <c r="F21" s="4"/>
      <c r="G21" s="4"/>
      <c r="H21" s="4"/>
      <c r="I21" s="4"/>
      <c r="J21" s="4"/>
      <c r="K21" s="4"/>
      <c r="L21" s="4"/>
      <c r="M21" s="4"/>
      <c r="N21" s="4"/>
      <c r="O21" s="4"/>
      <c r="P21" s="4"/>
      <c r="Q21" s="4"/>
      <c r="R21" s="4"/>
      <c r="S21" s="4"/>
      <c r="T21" s="4"/>
      <c r="U21" s="4"/>
      <c r="V21" s="4"/>
      <c r="W21" s="4"/>
      <c r="X21" s="4"/>
      <c r="Y21" s="4"/>
      <c r="Z21" s="4"/>
    </row>
    <row r="22" ht="15.75" customHeight="1">
      <c r="A22" s="15" t="s">
        <v>27</v>
      </c>
      <c r="B22" s="32" t="s">
        <v>36</v>
      </c>
      <c r="C22" s="31">
        <v>100000.0</v>
      </c>
      <c r="D22" s="8"/>
      <c r="E22" s="4"/>
      <c r="F22" s="4"/>
      <c r="G22" s="4"/>
      <c r="H22" s="4"/>
      <c r="I22" s="4"/>
      <c r="J22" s="4"/>
      <c r="K22" s="4"/>
      <c r="L22" s="4"/>
      <c r="M22" s="4"/>
      <c r="N22" s="4"/>
      <c r="O22" s="4"/>
      <c r="P22" s="4"/>
      <c r="Q22" s="4"/>
      <c r="R22" s="4"/>
      <c r="S22" s="4"/>
      <c r="T22" s="4"/>
      <c r="U22" s="4"/>
      <c r="V22" s="4"/>
      <c r="W22" s="4"/>
      <c r="X22" s="4"/>
      <c r="Y22" s="4"/>
      <c r="Z22" s="4"/>
    </row>
    <row r="23" ht="15.75" customHeight="1">
      <c r="A23" s="15" t="s">
        <v>32</v>
      </c>
      <c r="B23" s="34"/>
      <c r="C23" s="35">
        <f>C20+C21+C22</f>
        <v>1700000</v>
      </c>
      <c r="D23" s="8"/>
      <c r="E23" s="36"/>
      <c r="F23" s="4"/>
      <c r="G23" s="4"/>
      <c r="H23" s="4"/>
      <c r="I23" s="4"/>
      <c r="J23" s="4"/>
      <c r="K23" s="4"/>
      <c r="L23" s="4"/>
      <c r="M23" s="4"/>
      <c r="N23" s="4"/>
      <c r="O23" s="4"/>
      <c r="P23" s="4"/>
      <c r="Q23" s="4"/>
      <c r="R23" s="4"/>
      <c r="S23" s="4"/>
      <c r="T23" s="4"/>
      <c r="U23" s="4"/>
      <c r="V23" s="4"/>
      <c r="W23" s="4"/>
      <c r="X23" s="4"/>
      <c r="Y23" s="4"/>
      <c r="Z23" s="4"/>
    </row>
    <row r="24" ht="20.25" customHeight="1">
      <c r="A24" s="15" t="s">
        <v>29</v>
      </c>
      <c r="B24" s="37"/>
      <c r="C24" s="25"/>
      <c r="D24" s="8"/>
      <c r="E24" s="26"/>
      <c r="F24" s="4"/>
      <c r="G24" s="4"/>
      <c r="H24" s="4"/>
      <c r="I24" s="4"/>
      <c r="J24" s="4"/>
      <c r="K24" s="4"/>
      <c r="L24" s="4"/>
      <c r="M24" s="4"/>
      <c r="N24" s="4"/>
      <c r="O24" s="4"/>
      <c r="P24" s="4"/>
      <c r="Q24" s="4"/>
      <c r="R24" s="4"/>
      <c r="S24" s="4"/>
      <c r="T24" s="4"/>
      <c r="U24" s="4"/>
      <c r="V24" s="4"/>
      <c r="W24" s="4"/>
      <c r="X24" s="4"/>
      <c r="Y24" s="4"/>
      <c r="Z24" s="4"/>
    </row>
    <row r="25" ht="19.5" customHeight="1">
      <c r="A25" s="19" t="s">
        <v>31</v>
      </c>
      <c r="B25" s="6"/>
      <c r="C25" s="29" t="s">
        <v>32</v>
      </c>
      <c r="D25" s="8"/>
      <c r="E25" s="26"/>
      <c r="F25" s="4"/>
      <c r="G25" s="4"/>
      <c r="H25" s="4"/>
      <c r="I25" s="4"/>
      <c r="J25" s="4"/>
      <c r="K25" s="4"/>
      <c r="L25" s="4"/>
      <c r="M25" s="4"/>
      <c r="N25" s="4"/>
      <c r="O25" s="4"/>
      <c r="P25" s="4"/>
      <c r="Q25" s="4"/>
      <c r="R25" s="4"/>
      <c r="S25" s="4"/>
      <c r="T25" s="4"/>
      <c r="U25" s="4"/>
      <c r="V25" s="4"/>
      <c r="W25" s="4"/>
      <c r="X25" s="4"/>
      <c r="Y25" s="4"/>
      <c r="Z25" s="4"/>
    </row>
    <row r="26" ht="33.0" customHeight="1">
      <c r="A26" s="15" t="s">
        <v>23</v>
      </c>
      <c r="B26" s="38" t="s">
        <v>37</v>
      </c>
      <c r="C26" s="39">
        <v>2800000.0</v>
      </c>
      <c r="D26" s="8"/>
      <c r="E26" s="26"/>
      <c r="F26" s="4"/>
      <c r="G26" s="4"/>
      <c r="H26" s="4"/>
      <c r="I26" s="4"/>
      <c r="J26" s="4"/>
      <c r="K26" s="4"/>
      <c r="L26" s="4"/>
      <c r="M26" s="4"/>
      <c r="N26" s="4"/>
      <c r="O26" s="4"/>
      <c r="P26" s="4"/>
      <c r="Q26" s="4"/>
      <c r="R26" s="4"/>
      <c r="S26" s="4"/>
      <c r="T26" s="4"/>
      <c r="U26" s="4"/>
      <c r="V26" s="4"/>
      <c r="W26" s="4"/>
      <c r="X26" s="4"/>
      <c r="Y26" s="4"/>
      <c r="Z26" s="4"/>
    </row>
    <row r="27" ht="21.75" customHeight="1">
      <c r="A27" s="15" t="s">
        <v>34</v>
      </c>
      <c r="B27" s="32" t="s">
        <v>38</v>
      </c>
      <c r="C27" s="39">
        <v>0.0</v>
      </c>
      <c r="D27" s="8"/>
      <c r="E27" s="26"/>
      <c r="F27" s="4"/>
      <c r="G27" s="4"/>
      <c r="H27" s="4"/>
      <c r="I27" s="4"/>
      <c r="J27" s="4"/>
      <c r="K27" s="4"/>
      <c r="L27" s="4"/>
      <c r="M27" s="4"/>
      <c r="N27" s="4"/>
      <c r="O27" s="4"/>
      <c r="P27" s="4"/>
      <c r="Q27" s="4"/>
      <c r="R27" s="4"/>
      <c r="S27" s="4"/>
      <c r="T27" s="4"/>
      <c r="U27" s="4"/>
      <c r="V27" s="4"/>
      <c r="W27" s="4"/>
      <c r="X27" s="4"/>
      <c r="Y27" s="4"/>
      <c r="Z27" s="4"/>
    </row>
    <row r="28" ht="18.75" customHeight="1">
      <c r="A28" s="15" t="s">
        <v>27</v>
      </c>
      <c r="B28" s="40" t="s">
        <v>39</v>
      </c>
      <c r="C28" s="41">
        <v>150000.0</v>
      </c>
      <c r="D28" s="8"/>
      <c r="E28" s="26"/>
      <c r="F28" s="4"/>
      <c r="G28" s="4"/>
      <c r="H28" s="4"/>
      <c r="I28" s="4"/>
      <c r="J28" s="4"/>
      <c r="K28" s="4"/>
      <c r="L28" s="4"/>
      <c r="M28" s="4"/>
      <c r="N28" s="4"/>
      <c r="O28" s="4"/>
      <c r="P28" s="4"/>
      <c r="Q28" s="4"/>
      <c r="R28" s="4"/>
      <c r="S28" s="4"/>
      <c r="T28" s="4"/>
      <c r="U28" s="4"/>
      <c r="V28" s="4"/>
      <c r="W28" s="4"/>
      <c r="X28" s="4"/>
      <c r="Y28" s="4"/>
      <c r="Z28" s="4"/>
    </row>
    <row r="29" ht="18.75" customHeight="1">
      <c r="A29" s="15" t="s">
        <v>32</v>
      </c>
      <c r="B29" s="42"/>
      <c r="C29" s="43">
        <f>C26+C27+C28</f>
        <v>2950000</v>
      </c>
      <c r="D29" s="8"/>
      <c r="E29" s="26"/>
      <c r="F29" s="4"/>
      <c r="G29" s="4"/>
      <c r="H29" s="4"/>
      <c r="I29" s="4"/>
      <c r="J29" s="4"/>
      <c r="K29" s="4"/>
      <c r="L29" s="4"/>
      <c r="M29" s="4"/>
      <c r="N29" s="4"/>
      <c r="O29" s="4"/>
      <c r="P29" s="4"/>
      <c r="Q29" s="4"/>
      <c r="R29" s="4"/>
      <c r="S29" s="4"/>
      <c r="T29" s="4"/>
      <c r="U29" s="4"/>
      <c r="V29" s="4"/>
      <c r="W29" s="4"/>
      <c r="X29" s="4"/>
      <c r="Y29" s="4"/>
      <c r="Z29" s="4"/>
    </row>
    <row r="30" ht="15.75" customHeight="1">
      <c r="A30" s="15" t="s">
        <v>29</v>
      </c>
      <c r="B30" s="44"/>
      <c r="C30" s="25"/>
      <c r="D30" s="8"/>
      <c r="E30" s="26"/>
      <c r="F30" s="4"/>
      <c r="G30" s="4"/>
      <c r="H30" s="4"/>
      <c r="I30" s="4"/>
      <c r="J30" s="4"/>
      <c r="K30" s="4"/>
      <c r="L30" s="4"/>
      <c r="M30" s="4"/>
      <c r="N30" s="4"/>
      <c r="O30" s="4"/>
      <c r="P30" s="4"/>
      <c r="Q30" s="4"/>
      <c r="R30" s="4"/>
      <c r="S30" s="4"/>
      <c r="T30" s="4"/>
      <c r="U30" s="4"/>
      <c r="V30" s="4"/>
      <c r="W30" s="4"/>
      <c r="X30" s="4"/>
      <c r="Y30" s="4"/>
      <c r="Z30" s="4"/>
    </row>
    <row r="31" ht="15.75" customHeight="1">
      <c r="A31" s="19" t="s">
        <v>31</v>
      </c>
      <c r="B31" s="6"/>
      <c r="C31" s="29" t="s">
        <v>32</v>
      </c>
      <c r="D31" s="8"/>
      <c r="F31" s="4"/>
      <c r="G31" s="4"/>
      <c r="H31" s="4"/>
      <c r="I31" s="4"/>
      <c r="J31" s="4"/>
      <c r="K31" s="4"/>
      <c r="L31" s="4"/>
      <c r="M31" s="4"/>
      <c r="N31" s="4"/>
      <c r="O31" s="4"/>
      <c r="P31" s="4"/>
      <c r="Q31" s="4"/>
      <c r="R31" s="4"/>
      <c r="S31" s="4"/>
      <c r="T31" s="4"/>
      <c r="U31" s="4"/>
      <c r="V31" s="4"/>
      <c r="W31" s="4"/>
      <c r="X31" s="4"/>
      <c r="Y31" s="4"/>
      <c r="Z31" s="4"/>
    </row>
    <row r="32" ht="31.5" customHeight="1">
      <c r="A32" s="15" t="s">
        <v>23</v>
      </c>
      <c r="B32" s="38" t="s">
        <v>40</v>
      </c>
      <c r="C32" s="45">
        <v>4500000.0</v>
      </c>
      <c r="D32" s="8"/>
      <c r="E32" s="26"/>
      <c r="F32" s="4"/>
      <c r="G32" s="4"/>
      <c r="H32" s="4"/>
      <c r="I32" s="4"/>
      <c r="J32" s="4"/>
      <c r="K32" s="4"/>
      <c r="L32" s="4"/>
      <c r="M32" s="4"/>
      <c r="N32" s="4"/>
      <c r="O32" s="4"/>
      <c r="P32" s="4"/>
      <c r="Q32" s="4"/>
      <c r="R32" s="4"/>
      <c r="S32" s="4"/>
      <c r="T32" s="4"/>
      <c r="U32" s="4"/>
      <c r="V32" s="4"/>
      <c r="W32" s="4"/>
      <c r="X32" s="4"/>
      <c r="Y32" s="4"/>
      <c r="Z32" s="4"/>
    </row>
    <row r="33" ht="15.75" customHeight="1">
      <c r="A33" s="15" t="s">
        <v>34</v>
      </c>
      <c r="B33" s="32" t="s">
        <v>41</v>
      </c>
      <c r="C33" s="10">
        <v>300000.0</v>
      </c>
      <c r="D33" s="8"/>
      <c r="E33" s="26"/>
      <c r="F33" s="4"/>
      <c r="G33" s="4"/>
      <c r="H33" s="4"/>
      <c r="I33" s="4"/>
      <c r="J33" s="4"/>
      <c r="K33" s="4"/>
      <c r="L33" s="4"/>
      <c r="M33" s="4"/>
      <c r="N33" s="4"/>
      <c r="O33" s="4"/>
      <c r="P33" s="4"/>
      <c r="Q33" s="4"/>
      <c r="R33" s="4"/>
      <c r="S33" s="4"/>
      <c r="T33" s="4"/>
      <c r="U33" s="4"/>
      <c r="V33" s="4"/>
      <c r="W33" s="4"/>
      <c r="X33" s="4"/>
      <c r="Y33" s="4"/>
      <c r="Z33" s="4"/>
    </row>
    <row r="34" ht="15.75" customHeight="1">
      <c r="A34" s="15" t="s">
        <v>27</v>
      </c>
      <c r="B34" s="32" t="s">
        <v>42</v>
      </c>
      <c r="C34" s="10">
        <v>200000.0</v>
      </c>
      <c r="D34" s="8"/>
      <c r="E34" s="26"/>
      <c r="F34" s="4"/>
      <c r="G34" s="4"/>
      <c r="H34" s="4"/>
      <c r="I34" s="4"/>
      <c r="J34" s="4"/>
      <c r="K34" s="4"/>
      <c r="L34" s="4"/>
      <c r="M34" s="4"/>
      <c r="N34" s="4"/>
      <c r="O34" s="4"/>
      <c r="P34" s="4"/>
      <c r="Q34" s="4"/>
      <c r="R34" s="4"/>
      <c r="S34" s="4"/>
      <c r="T34" s="4"/>
      <c r="U34" s="4"/>
      <c r="V34" s="4"/>
      <c r="W34" s="4"/>
      <c r="X34" s="4"/>
      <c r="Y34" s="4"/>
      <c r="Z34" s="4"/>
    </row>
    <row r="35" ht="15.75" customHeight="1">
      <c r="A35" s="15" t="s">
        <v>32</v>
      </c>
      <c r="B35" s="42"/>
      <c r="C35" s="46">
        <f>C32+C33+C34</f>
        <v>5000000</v>
      </c>
      <c r="D35" s="8"/>
      <c r="E35" s="26"/>
      <c r="F35" s="4"/>
      <c r="G35" s="4"/>
      <c r="H35" s="4"/>
      <c r="I35" s="4"/>
      <c r="J35" s="4"/>
      <c r="K35" s="4"/>
      <c r="L35" s="4"/>
      <c r="M35" s="4"/>
      <c r="N35" s="4"/>
      <c r="O35" s="4"/>
      <c r="P35" s="4"/>
      <c r="Q35" s="4"/>
      <c r="R35" s="4"/>
      <c r="S35" s="4"/>
      <c r="T35" s="4"/>
      <c r="U35" s="4"/>
      <c r="V35" s="4"/>
      <c r="W35" s="4"/>
      <c r="X35" s="4"/>
      <c r="Y35" s="4"/>
      <c r="Z35" s="4"/>
    </row>
    <row r="36" ht="18.0" customHeight="1">
      <c r="A36" s="15" t="s">
        <v>29</v>
      </c>
      <c r="B36" s="44"/>
      <c r="C36" s="13"/>
      <c r="D36" s="8"/>
      <c r="E36" s="47"/>
      <c r="F36" s="4"/>
      <c r="G36" s="4"/>
      <c r="H36" s="4"/>
      <c r="I36" s="4"/>
      <c r="J36" s="4"/>
      <c r="K36" s="4"/>
      <c r="L36" s="4"/>
      <c r="M36" s="4"/>
      <c r="N36" s="4"/>
      <c r="O36" s="4"/>
      <c r="P36" s="4"/>
      <c r="Q36" s="4"/>
      <c r="R36" s="4"/>
      <c r="S36" s="4"/>
      <c r="T36" s="4"/>
      <c r="U36" s="4"/>
      <c r="V36" s="4"/>
      <c r="W36" s="4"/>
      <c r="X36" s="4"/>
      <c r="Y36" s="4"/>
      <c r="Z36" s="4"/>
    </row>
    <row r="37" ht="15.75" customHeight="1">
      <c r="A37" s="5" t="s">
        <v>43</v>
      </c>
      <c r="B37" s="6"/>
      <c r="C37" s="48"/>
      <c r="D37" s="8"/>
      <c r="E37" s="47"/>
      <c r="F37" s="26"/>
      <c r="G37" s="4"/>
      <c r="H37" s="4"/>
      <c r="I37" s="4"/>
      <c r="J37" s="4"/>
      <c r="K37" s="4"/>
      <c r="L37" s="4"/>
      <c r="M37" s="4"/>
      <c r="N37" s="4"/>
      <c r="O37" s="4"/>
      <c r="P37" s="4"/>
      <c r="Q37" s="4"/>
      <c r="R37" s="4"/>
      <c r="S37" s="4"/>
      <c r="T37" s="4"/>
      <c r="U37" s="4"/>
      <c r="V37" s="4"/>
      <c r="W37" s="4"/>
      <c r="X37" s="4"/>
      <c r="Y37" s="4"/>
      <c r="Z37" s="4"/>
    </row>
    <row r="38" ht="15.75" customHeight="1">
      <c r="A38" s="49" t="s">
        <v>44</v>
      </c>
      <c r="B38" s="49" t="s">
        <v>45</v>
      </c>
      <c r="C38" s="48"/>
      <c r="D38" s="8"/>
      <c r="E38" s="47"/>
      <c r="F38" s="26"/>
      <c r="G38" s="4"/>
      <c r="H38" s="4"/>
      <c r="I38" s="4"/>
      <c r="J38" s="4"/>
      <c r="K38" s="4"/>
      <c r="L38" s="4"/>
      <c r="M38" s="4"/>
      <c r="N38" s="4"/>
      <c r="O38" s="4"/>
      <c r="P38" s="4"/>
      <c r="Q38" s="4"/>
      <c r="R38" s="4"/>
      <c r="S38" s="4"/>
      <c r="T38" s="4"/>
      <c r="U38" s="4"/>
      <c r="V38" s="4"/>
      <c r="W38" s="4"/>
      <c r="X38" s="4"/>
      <c r="Y38" s="4"/>
      <c r="Z38" s="4"/>
    </row>
    <row r="39" ht="15.75" customHeight="1">
      <c r="A39" s="44" t="s">
        <v>46</v>
      </c>
      <c r="B39" s="44"/>
      <c r="C39" s="48"/>
      <c r="D39" s="8"/>
      <c r="E39" s="47"/>
      <c r="F39" s="26"/>
      <c r="G39" s="4"/>
      <c r="H39" s="4"/>
      <c r="I39" s="4"/>
      <c r="J39" s="4"/>
      <c r="K39" s="4"/>
      <c r="L39" s="4"/>
      <c r="M39" s="4"/>
      <c r="N39" s="4"/>
      <c r="O39" s="4"/>
      <c r="P39" s="4"/>
      <c r="Q39" s="4"/>
      <c r="R39" s="4"/>
      <c r="S39" s="4"/>
      <c r="T39" s="4"/>
      <c r="U39" s="4"/>
      <c r="V39" s="4"/>
      <c r="W39" s="4"/>
      <c r="X39" s="4"/>
      <c r="Y39" s="4"/>
      <c r="Z39" s="4"/>
    </row>
    <row r="40" ht="15.75" customHeight="1">
      <c r="A40" s="20" t="s">
        <v>47</v>
      </c>
      <c r="B40" s="20"/>
      <c r="C40" s="48"/>
      <c r="D40" s="8"/>
      <c r="E40" s="47"/>
      <c r="F40" s="26"/>
      <c r="G40" s="4"/>
      <c r="H40" s="4"/>
      <c r="I40" s="4"/>
      <c r="J40" s="4"/>
      <c r="K40" s="4"/>
      <c r="L40" s="4"/>
      <c r="M40" s="4"/>
      <c r="N40" s="4"/>
      <c r="O40" s="4"/>
      <c r="P40" s="4"/>
      <c r="Q40" s="4"/>
      <c r="R40" s="4"/>
      <c r="S40" s="4"/>
      <c r="T40" s="4"/>
      <c r="U40" s="4"/>
      <c r="V40" s="4"/>
      <c r="W40" s="4"/>
      <c r="X40" s="4"/>
      <c r="Y40" s="4"/>
      <c r="Z40" s="4"/>
    </row>
    <row r="41" ht="15.75" customHeight="1">
      <c r="A41" s="50">
        <v>45828.0</v>
      </c>
      <c r="B41" s="50"/>
      <c r="C41" s="48"/>
      <c r="D41" s="8"/>
      <c r="E41" s="47"/>
      <c r="F41" s="26"/>
      <c r="G41" s="4"/>
      <c r="H41" s="4"/>
      <c r="I41" s="4"/>
      <c r="J41" s="4"/>
      <c r="K41" s="4"/>
      <c r="L41" s="4"/>
      <c r="M41" s="4"/>
      <c r="N41" s="4"/>
      <c r="O41" s="4"/>
      <c r="P41" s="4"/>
      <c r="Q41" s="4"/>
      <c r="R41" s="4"/>
      <c r="S41" s="4"/>
      <c r="T41" s="4"/>
      <c r="U41" s="4"/>
      <c r="V41" s="4"/>
      <c r="W41" s="4"/>
      <c r="X41" s="4"/>
      <c r="Y41" s="4"/>
      <c r="Z41" s="4"/>
    </row>
    <row r="42" ht="15.75" customHeight="1">
      <c r="A42" s="48"/>
      <c r="B42" s="48"/>
      <c r="C42" s="48"/>
      <c r="D42" s="51"/>
      <c r="E42" s="48"/>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12"/>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12"/>
      <c r="E45" s="4"/>
      <c r="F45" s="4"/>
      <c r="G45" s="4"/>
      <c r="H45" s="4"/>
      <c r="I45" s="4"/>
      <c r="J45" s="4"/>
      <c r="K45" s="4"/>
      <c r="L45" s="4"/>
      <c r="M45" s="4"/>
      <c r="N45" s="4"/>
      <c r="O45" s="4"/>
      <c r="P45" s="4"/>
      <c r="Q45" s="4"/>
      <c r="R45" s="4"/>
      <c r="S45" s="4"/>
      <c r="T45" s="4"/>
      <c r="U45" s="4"/>
      <c r="V45" s="4"/>
      <c r="W45" s="4"/>
      <c r="X45" s="4"/>
      <c r="Y45" s="4"/>
      <c r="Z45" s="4"/>
    </row>
    <row r="46" ht="15.75" customHeight="1">
      <c r="A46" s="4"/>
      <c r="B46" s="4"/>
      <c r="D46" s="12"/>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12"/>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12"/>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12"/>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12"/>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12"/>
      <c r="E51" s="4"/>
      <c r="F51" s="4"/>
      <c r="G51" s="4"/>
      <c r="H51" s="4"/>
      <c r="I51" s="4"/>
      <c r="J51" s="4"/>
      <c r="K51" s="4"/>
      <c r="L51" s="4"/>
      <c r="M51" s="4"/>
      <c r="N51" s="4"/>
      <c r="O51" s="4"/>
      <c r="P51" s="4"/>
      <c r="Q51" s="4"/>
      <c r="R51" s="4"/>
      <c r="S51" s="4"/>
      <c r="T51" s="4"/>
      <c r="U51" s="4"/>
      <c r="V51" s="4"/>
      <c r="W51" s="4"/>
      <c r="X51" s="4"/>
      <c r="Y51" s="4"/>
      <c r="Z51" s="4"/>
    </row>
    <row r="52" ht="15.75" customHeight="1">
      <c r="A52" s="4"/>
      <c r="C52" s="4"/>
      <c r="D52" s="12"/>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12"/>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12"/>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12"/>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12"/>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12"/>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12"/>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12"/>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12"/>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12"/>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12"/>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12"/>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12"/>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12"/>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12"/>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12"/>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12"/>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12"/>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12"/>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12"/>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12"/>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12"/>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12"/>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12"/>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12"/>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12"/>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12"/>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12"/>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12"/>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12"/>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12"/>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12"/>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12"/>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12"/>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12"/>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12"/>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12"/>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12"/>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12"/>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12"/>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12"/>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12"/>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12"/>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12"/>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12"/>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12"/>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12"/>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12"/>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12"/>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12"/>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12"/>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12"/>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12"/>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12"/>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12"/>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12"/>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12"/>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12"/>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12"/>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12"/>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12"/>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12"/>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12"/>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12"/>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12"/>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12"/>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12"/>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12"/>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12"/>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12"/>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12"/>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12"/>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12"/>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12"/>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12"/>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12"/>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12"/>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12"/>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12"/>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12"/>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12"/>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12"/>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12"/>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12"/>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12"/>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12"/>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12"/>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12"/>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12"/>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12"/>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12"/>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12"/>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12"/>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12"/>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12"/>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12"/>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12"/>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12"/>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12"/>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12"/>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12"/>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12"/>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12"/>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12"/>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12"/>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12"/>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12"/>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12"/>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12"/>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12"/>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12"/>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12"/>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12"/>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12"/>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12"/>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12"/>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12"/>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12"/>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12"/>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12"/>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12"/>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12"/>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12"/>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12"/>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12"/>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12"/>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12"/>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12"/>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12"/>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12"/>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12"/>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12"/>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12"/>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12"/>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12"/>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12"/>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12"/>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12"/>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12"/>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12"/>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12"/>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12"/>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12"/>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12"/>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12"/>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12"/>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12"/>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12"/>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12"/>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12"/>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12"/>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12"/>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12"/>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12"/>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12"/>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12"/>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12"/>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12"/>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12"/>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12"/>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12"/>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12"/>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12"/>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12"/>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12"/>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12"/>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12"/>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12"/>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12"/>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12"/>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12"/>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12"/>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12"/>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12"/>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12"/>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12"/>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12"/>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12"/>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12"/>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12"/>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12"/>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12"/>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12"/>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12"/>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12"/>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12"/>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12"/>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12"/>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12"/>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12"/>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12"/>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12"/>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12"/>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12"/>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12"/>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12"/>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12"/>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12"/>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12"/>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12"/>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12"/>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12"/>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12"/>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12"/>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12"/>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12"/>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12"/>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12"/>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12"/>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12"/>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12"/>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12"/>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12"/>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12"/>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12"/>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12"/>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12"/>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12"/>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12"/>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12"/>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12"/>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12"/>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12"/>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12"/>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12"/>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12"/>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12"/>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12"/>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12"/>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12"/>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12"/>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12"/>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12"/>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12"/>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12"/>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12"/>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12"/>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12"/>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12"/>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12"/>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12"/>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12"/>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12"/>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12"/>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12"/>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12"/>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12"/>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12"/>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12"/>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12"/>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12"/>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12"/>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12"/>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12"/>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12"/>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12"/>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12"/>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12"/>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12"/>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12"/>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12"/>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12"/>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12"/>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12"/>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12"/>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12"/>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12"/>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12"/>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12"/>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12"/>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12"/>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12"/>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12"/>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12"/>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12"/>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12"/>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12"/>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12"/>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12"/>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12"/>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12"/>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12"/>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12"/>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12"/>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12"/>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12"/>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12"/>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12"/>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12"/>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12"/>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12"/>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12"/>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12"/>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12"/>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12"/>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12"/>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12"/>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12"/>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12"/>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12"/>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12"/>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12"/>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12"/>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12"/>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12"/>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12"/>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12"/>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12"/>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12"/>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12"/>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12"/>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12"/>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12"/>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12"/>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12"/>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12"/>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12"/>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12"/>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12"/>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12"/>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12"/>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12"/>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12"/>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12"/>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12"/>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12"/>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12"/>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12"/>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12"/>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12"/>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12"/>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12"/>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12"/>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12"/>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12"/>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12"/>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12"/>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12"/>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12"/>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12"/>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12"/>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12"/>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12"/>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12"/>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12"/>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12"/>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12"/>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12"/>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12"/>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12"/>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12"/>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12"/>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12"/>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12"/>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12"/>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12"/>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12"/>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12"/>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12"/>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12"/>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12"/>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12"/>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12"/>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12"/>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12"/>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12"/>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12"/>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12"/>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12"/>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12"/>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12"/>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12"/>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12"/>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12"/>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12"/>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12"/>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12"/>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12"/>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12"/>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12"/>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12"/>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12"/>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12"/>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12"/>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12"/>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12"/>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12"/>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12"/>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12"/>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12"/>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12"/>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12"/>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12"/>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12"/>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12"/>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12"/>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12"/>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12"/>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12"/>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12"/>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12"/>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12"/>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12"/>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12"/>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12"/>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12"/>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12"/>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12"/>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12"/>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12"/>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12"/>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12"/>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12"/>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12"/>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12"/>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12"/>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12"/>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12"/>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12"/>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12"/>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12"/>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12"/>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12"/>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12"/>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12"/>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12"/>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12"/>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12"/>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12"/>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12"/>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12"/>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12"/>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12"/>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12"/>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12"/>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12"/>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12"/>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12"/>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12"/>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12"/>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12"/>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12"/>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12"/>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12"/>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12"/>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12"/>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12"/>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12"/>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12"/>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12"/>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12"/>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12"/>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12"/>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12"/>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12"/>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12"/>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12"/>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12"/>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12"/>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12"/>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12"/>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12"/>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12"/>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12"/>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12"/>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12"/>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12"/>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12"/>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12"/>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12"/>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12"/>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12"/>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12"/>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12"/>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12"/>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12"/>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12"/>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12"/>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12"/>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12"/>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12"/>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12"/>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12"/>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12"/>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12"/>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12"/>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12"/>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12"/>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12"/>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12"/>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12"/>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12"/>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12"/>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12"/>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12"/>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12"/>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12"/>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12"/>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12"/>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12"/>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12"/>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12"/>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12"/>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12"/>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12"/>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12"/>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12"/>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12"/>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12"/>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12"/>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12"/>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12"/>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12"/>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12"/>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12"/>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12"/>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12"/>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12"/>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12"/>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12"/>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12"/>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12"/>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12"/>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12"/>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12"/>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12"/>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12"/>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12"/>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12"/>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12"/>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12"/>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12"/>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12"/>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12"/>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12"/>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12"/>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12"/>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12"/>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12"/>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12"/>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12"/>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12"/>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12"/>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12"/>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12"/>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12"/>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12"/>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12"/>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12"/>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12"/>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12"/>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12"/>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12"/>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12"/>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12"/>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12"/>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12"/>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12"/>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12"/>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12"/>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12"/>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12"/>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12"/>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12"/>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12"/>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12"/>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12"/>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12"/>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12"/>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12"/>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12"/>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12"/>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12"/>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12"/>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12"/>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12"/>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12"/>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12"/>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12"/>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12"/>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12"/>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12"/>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12"/>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12"/>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12"/>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12"/>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12"/>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12"/>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12"/>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12"/>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12"/>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12"/>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12"/>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12"/>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12"/>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12"/>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12"/>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12"/>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12"/>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12"/>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12"/>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12"/>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12"/>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12"/>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12"/>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12"/>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12"/>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12"/>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12"/>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12"/>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12"/>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12"/>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12"/>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12"/>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12"/>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12"/>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12"/>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12"/>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12"/>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12"/>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12"/>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12"/>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12"/>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12"/>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12"/>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12"/>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12"/>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12"/>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12"/>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12"/>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12"/>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12"/>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12"/>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12"/>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12"/>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12"/>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12"/>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12"/>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12"/>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12"/>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12"/>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12"/>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12"/>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12"/>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12"/>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12"/>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12"/>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12"/>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12"/>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12"/>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12"/>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12"/>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12"/>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12"/>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12"/>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12"/>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12"/>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12"/>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12"/>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12"/>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12"/>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12"/>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12"/>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12"/>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12"/>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12"/>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12"/>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12"/>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12"/>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12"/>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12"/>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12"/>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12"/>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12"/>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12"/>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12"/>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12"/>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12"/>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12"/>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12"/>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12"/>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12"/>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12"/>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12"/>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12"/>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12"/>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12"/>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12"/>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12"/>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12"/>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12"/>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12"/>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12"/>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12"/>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12"/>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12"/>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12"/>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12"/>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12"/>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12"/>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12"/>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12"/>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12"/>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12"/>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12"/>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12"/>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12"/>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12"/>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12"/>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12"/>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12"/>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12"/>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12"/>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12"/>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12"/>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12"/>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12"/>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12"/>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12"/>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12"/>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12"/>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12"/>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12"/>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12"/>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12"/>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12"/>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12"/>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12"/>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12"/>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12"/>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12"/>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12"/>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12"/>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12"/>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12"/>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12"/>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12"/>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12"/>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12"/>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12"/>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12"/>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12"/>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12"/>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12"/>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12"/>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12"/>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12"/>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12"/>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12"/>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12"/>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12"/>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12"/>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12"/>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12"/>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12"/>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12"/>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12"/>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12"/>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12"/>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12"/>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12"/>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12"/>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12"/>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12"/>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12"/>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12"/>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12"/>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12"/>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12"/>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12"/>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12"/>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12"/>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12"/>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12"/>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12"/>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12"/>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12"/>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12"/>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12"/>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12"/>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12"/>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12"/>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12"/>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12"/>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12"/>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12"/>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12"/>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12"/>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12"/>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12"/>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12"/>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12"/>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12"/>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12"/>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12"/>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12"/>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12"/>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12"/>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12"/>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12"/>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12"/>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12"/>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12"/>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12"/>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12"/>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12"/>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12"/>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12"/>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12"/>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12"/>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12"/>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12"/>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12"/>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12"/>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12"/>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12"/>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12"/>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12"/>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12"/>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12"/>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12"/>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12"/>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12"/>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12"/>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12"/>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12"/>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12"/>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12"/>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12"/>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12"/>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12"/>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12"/>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12"/>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12"/>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12"/>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12"/>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12"/>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12"/>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12"/>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12"/>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12"/>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12"/>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12"/>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12"/>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12"/>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12"/>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12"/>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12"/>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12"/>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12"/>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12"/>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12"/>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12"/>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12"/>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12"/>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12"/>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12"/>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12"/>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12"/>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12"/>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12"/>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12"/>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12"/>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12"/>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12"/>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12"/>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12"/>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12"/>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12"/>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12"/>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12"/>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12"/>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12"/>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12"/>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12"/>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12"/>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12"/>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12"/>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12"/>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12"/>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12"/>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12"/>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12"/>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12"/>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12"/>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12"/>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12"/>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12"/>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12"/>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12"/>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12"/>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12"/>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12"/>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12"/>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12"/>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12"/>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12"/>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12"/>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12"/>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12"/>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12"/>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12"/>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12"/>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12"/>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12"/>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12"/>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12"/>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12"/>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12"/>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12"/>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12"/>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12"/>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12"/>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12"/>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12"/>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12"/>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12"/>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12"/>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12"/>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12"/>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12"/>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12"/>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12"/>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12"/>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12"/>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12"/>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12"/>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12"/>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12"/>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12"/>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12"/>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12"/>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12"/>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12"/>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12"/>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12"/>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12"/>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12"/>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12"/>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12"/>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12"/>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12"/>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12"/>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12"/>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12"/>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12"/>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12"/>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12"/>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12"/>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12"/>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12"/>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12"/>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12"/>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12"/>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9">
    <mergeCell ref="A25:B25"/>
    <mergeCell ref="A31:B31"/>
    <mergeCell ref="A37:B37"/>
    <mergeCell ref="A2:B2"/>
    <mergeCell ref="A8:B8"/>
    <mergeCell ref="A11:B11"/>
    <mergeCell ref="A13:B13"/>
    <mergeCell ref="A14:B14"/>
    <mergeCell ref="A19:B1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0"/>
    <col customWidth="1" min="2" max="2" width="24.86"/>
    <col customWidth="1" min="3" max="3" width="128.71"/>
    <col customWidth="1" min="4" max="4" width="58.71"/>
    <col customWidth="1" min="5" max="26" width="10.71"/>
  </cols>
  <sheetData>
    <row r="1">
      <c r="A1" s="52" t="s">
        <v>48</v>
      </c>
      <c r="B1" s="52" t="s">
        <v>49</v>
      </c>
      <c r="C1" s="52" t="s">
        <v>50</v>
      </c>
      <c r="D1" s="52" t="s">
        <v>51</v>
      </c>
    </row>
    <row r="2">
      <c r="A2" s="53" t="s">
        <v>52</v>
      </c>
      <c r="B2" s="54">
        <v>1599000.0</v>
      </c>
      <c r="C2" s="55" t="s">
        <v>53</v>
      </c>
      <c r="D2" s="56" t="s">
        <v>54</v>
      </c>
    </row>
    <row r="3">
      <c r="A3" s="53" t="s">
        <v>55</v>
      </c>
      <c r="B3" s="57">
        <v>1199000.0</v>
      </c>
      <c r="C3" s="58" t="s">
        <v>56</v>
      </c>
      <c r="D3" s="56" t="s">
        <v>57</v>
      </c>
    </row>
    <row r="4">
      <c r="A4" s="59" t="s">
        <v>58</v>
      </c>
      <c r="B4" s="57">
        <v>1249000.0</v>
      </c>
      <c r="C4" s="58" t="s">
        <v>59</v>
      </c>
      <c r="D4" s="60" t="s">
        <v>60</v>
      </c>
    </row>
    <row r="5">
      <c r="A5" s="53" t="s">
        <v>61</v>
      </c>
      <c r="B5" s="61">
        <v>1599000.0</v>
      </c>
      <c r="C5" s="58" t="s">
        <v>62</v>
      </c>
      <c r="D5" s="56" t="s">
        <v>63</v>
      </c>
    </row>
    <row r="6">
      <c r="A6" s="53" t="s">
        <v>64</v>
      </c>
      <c r="B6" s="61">
        <v>99900.0</v>
      </c>
      <c r="C6" s="62" t="s">
        <v>65</v>
      </c>
      <c r="D6" s="56" t="s">
        <v>66</v>
      </c>
    </row>
    <row r="7">
      <c r="A7" s="53" t="s">
        <v>67</v>
      </c>
      <c r="B7" s="61">
        <v>67830.0</v>
      </c>
      <c r="C7" s="62" t="s">
        <v>68</v>
      </c>
      <c r="D7" s="56" t="s">
        <v>69</v>
      </c>
    </row>
    <row r="8">
      <c r="A8" s="53" t="s">
        <v>70</v>
      </c>
      <c r="B8" s="61">
        <v>164356.0</v>
      </c>
      <c r="C8" s="62" t="s">
        <v>71</v>
      </c>
      <c r="D8" s="56" t="s">
        <v>72</v>
      </c>
    </row>
    <row r="9">
      <c r="A9" s="53" t="s">
        <v>73</v>
      </c>
      <c r="B9" s="63">
        <v>225992.0</v>
      </c>
      <c r="C9" s="58" t="s">
        <v>74</v>
      </c>
      <c r="D9" s="56" t="s">
        <v>75</v>
      </c>
    </row>
    <row r="10">
      <c r="A10" s="53" t="s">
        <v>76</v>
      </c>
      <c r="B10" s="61">
        <v>0.0</v>
      </c>
      <c r="C10" s="62" t="s">
        <v>77</v>
      </c>
      <c r="D10" s="56" t="s">
        <v>78</v>
      </c>
    </row>
    <row r="11">
      <c r="A11" s="53" t="s">
        <v>79</v>
      </c>
      <c r="B11" s="63">
        <v>0.0</v>
      </c>
      <c r="C11" s="62" t="s">
        <v>80</v>
      </c>
      <c r="D11" s="56" t="s">
        <v>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5"/>
    <hyperlink r:id="rId4" ref="C6"/>
    <hyperlink r:id="rId5" ref="C7"/>
    <hyperlink r:id="rId6" ref="C8"/>
    <hyperlink r:id="rId7" ref="C9"/>
    <hyperlink r:id="rId8" ref="C10"/>
    <hyperlink r:id="rId9" ref="C11"/>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2023-08-23T22:35:28Z</dcterms:created>
  <dc:creator>Personal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0x010100291AF4700B6CBD4D854640CDEEF7883D</vt:lpwstr>
  </property>
</Properties>
</file>